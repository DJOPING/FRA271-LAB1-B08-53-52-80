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0b9bd930d05978/เอกสาร/MATLAB/Project/Loadcell/"/>
    </mc:Choice>
  </mc:AlternateContent>
  <xr:revisionPtr revIDLastSave="270" documentId="8_{EB9A6115-CA90-42BC-AF8D-484C84752D5E}" xr6:coauthVersionLast="47" xr6:coauthVersionMax="47" xr10:uidLastSave="{A5129764-886F-4018-9830-51D0D0B3B7F3}"/>
  <bookViews>
    <workbookView xWindow="11424" yWindow="0" windowWidth="11712" windowHeight="13056" xr2:uid="{5749D4A5-4584-4670-B6AC-278885A29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3" i="1"/>
  <c r="U23" i="1"/>
  <c r="U9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3" i="1"/>
</calcChain>
</file>

<file path=xl/sharedStrings.xml><?xml version="1.0" encoding="utf-8"?>
<sst xmlns="http://schemas.openxmlformats.org/spreadsheetml/2006/main" count="33" uniqueCount="18">
  <si>
    <t>น้ำหนักจริง g</t>
  </si>
  <si>
    <t>น้ำหนักใน mathlab</t>
  </si>
  <si>
    <t>Voltage</t>
  </si>
  <si>
    <t>Raw data</t>
  </si>
  <si>
    <t>ครั้งที่ 1</t>
  </si>
  <si>
    <t>ครั้งที่ 2</t>
  </si>
  <si>
    <t>ครั้งที่ 3</t>
  </si>
  <si>
    <t>น้ำหนักอยากได้ g</t>
  </si>
  <si>
    <t>R=66.3</t>
  </si>
  <si>
    <t>Vin+ -Vin-</t>
  </si>
  <si>
    <t>Gain</t>
  </si>
  <si>
    <t>0 kg</t>
  </si>
  <si>
    <t>10 kg</t>
  </si>
  <si>
    <t>diff</t>
  </si>
  <si>
    <t>4 mV</t>
  </si>
  <si>
    <t>0 mV</t>
  </si>
  <si>
    <t>96.62 ohm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</si>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</sst>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4DB6-0E1F-41C1-B37B-ADCB4F0C4A59}">
  <dimension ref="A1:W32"/>
  <sheetViews>
    <sheetView tabSelected="1" topLeftCell="M1" zoomScale="85" zoomScaleNormal="85" workbookViewId="0">
      <selection activeCell="V28" sqref="V28"/>
    </sheetView>
  </sheetViews>
  <sheetFormatPr defaultRowHeight="16.8" x14ac:dyDescent="0.4"/>
  <sheetData>
    <row r="1" spans="1:23" ht="17.399999999999999" thickBot="1" x14ac:dyDescent="0.45">
      <c r="A1" t="s">
        <v>4</v>
      </c>
      <c r="G1" t="s">
        <v>5</v>
      </c>
      <c r="M1" t="s">
        <v>6</v>
      </c>
      <c r="U1" t="s">
        <v>17</v>
      </c>
    </row>
    <row r="2" spans="1:23" x14ac:dyDescent="0.4">
      <c r="A2" s="6" t="s">
        <v>7</v>
      </c>
      <c r="B2" s="7" t="s">
        <v>0</v>
      </c>
      <c r="C2" s="7" t="s">
        <v>1</v>
      </c>
      <c r="D2" s="7" t="s">
        <v>3</v>
      </c>
      <c r="E2" s="8" t="s">
        <v>2</v>
      </c>
      <c r="G2" s="6" t="s">
        <v>7</v>
      </c>
      <c r="H2" s="7" t="s">
        <v>0</v>
      </c>
      <c r="I2" s="7" t="s">
        <v>1</v>
      </c>
      <c r="J2" s="7" t="s">
        <v>3</v>
      </c>
      <c r="K2" s="8" t="s">
        <v>2</v>
      </c>
      <c r="M2" s="6" t="s">
        <v>7</v>
      </c>
      <c r="N2" s="7" t="s">
        <v>0</v>
      </c>
      <c r="O2" s="7" t="s">
        <v>1</v>
      </c>
      <c r="P2" s="7" t="s">
        <v>3</v>
      </c>
      <c r="Q2" s="8" t="s">
        <v>2</v>
      </c>
      <c r="T2" s="14" t="s">
        <v>0</v>
      </c>
      <c r="U2" s="15" t="s">
        <v>1</v>
      </c>
      <c r="V2" s="15" t="s">
        <v>3</v>
      </c>
      <c r="W2" s="16" t="s">
        <v>2</v>
      </c>
    </row>
    <row r="3" spans="1:23" x14ac:dyDescent="0.4">
      <c r="A3" s="1">
        <v>0</v>
      </c>
      <c r="B3" s="9">
        <v>0</v>
      </c>
      <c r="C3" s="10">
        <v>5.4797999999999999E-3</v>
      </c>
      <c r="D3" s="10">
        <v>65.302000000000007</v>
      </c>
      <c r="E3" s="11">
        <v>5.2623999999999997E-2</v>
      </c>
      <c r="G3" s="1">
        <v>0</v>
      </c>
      <c r="H3" s="9">
        <v>0</v>
      </c>
      <c r="I3" s="10">
        <v>2.1602999999999999</v>
      </c>
      <c r="J3" s="10">
        <v>65.97</v>
      </c>
      <c r="K3" s="11">
        <v>5.3163000000000002E-2</v>
      </c>
      <c r="M3" s="1">
        <v>0</v>
      </c>
      <c r="N3" s="9">
        <v>0</v>
      </c>
      <c r="O3" s="10">
        <v>0.60407</v>
      </c>
      <c r="P3" s="10">
        <v>65.486999999999995</v>
      </c>
      <c r="Q3" s="11">
        <v>5.2774000000000001E-2</v>
      </c>
      <c r="T3" s="1">
        <v>0</v>
      </c>
      <c r="U3" s="9">
        <f>AVERAGE(C3,I3,O3)</f>
        <v>0.9232832666666666</v>
      </c>
      <c r="V3" s="9">
        <f>AVERAGE(D3,J3,P3)</f>
        <v>65.586333333333329</v>
      </c>
      <c r="W3" s="2">
        <f>AVERAGE(E3,K3,Q3)</f>
        <v>5.2853666666666667E-2</v>
      </c>
    </row>
    <row r="4" spans="1:23" x14ac:dyDescent="0.4">
      <c r="A4" s="1">
        <v>500</v>
      </c>
      <c r="B4" s="9">
        <v>507</v>
      </c>
      <c r="C4" s="10">
        <v>484.32</v>
      </c>
      <c r="D4" s="10">
        <v>215.55</v>
      </c>
      <c r="E4" s="11">
        <v>0.17369999999999999</v>
      </c>
      <c r="G4" s="1">
        <v>500</v>
      </c>
      <c r="H4" s="9">
        <v>507</v>
      </c>
      <c r="I4" s="10">
        <v>491.23</v>
      </c>
      <c r="J4" s="10">
        <v>217.69</v>
      </c>
      <c r="K4" s="11">
        <v>0.17543</v>
      </c>
      <c r="M4" s="1">
        <v>500</v>
      </c>
      <c r="N4" s="9">
        <v>507</v>
      </c>
      <c r="O4" s="10">
        <v>484.94</v>
      </c>
      <c r="P4" s="10">
        <v>215.74</v>
      </c>
      <c r="Q4" s="11">
        <v>0.17385999999999999</v>
      </c>
      <c r="T4" s="1">
        <v>507</v>
      </c>
      <c r="U4" s="9">
        <f>AVERAGE(C4,I4,O4)</f>
        <v>486.83</v>
      </c>
      <c r="V4" s="9">
        <f t="shared" ref="V4:V23" si="0">AVERAGE(D4,J4,P4)</f>
        <v>216.32666666666668</v>
      </c>
      <c r="W4" s="2">
        <f t="shared" ref="W4:W23" si="1">AVERAGE(E4,K4,Q4)</f>
        <v>0.17432999999999998</v>
      </c>
    </row>
    <row r="5" spans="1:23" x14ac:dyDescent="0.4">
      <c r="A5" s="1">
        <v>1000</v>
      </c>
      <c r="B5" s="9">
        <v>914</v>
      </c>
      <c r="C5" s="10">
        <v>908.49</v>
      </c>
      <c r="D5" s="10">
        <v>347.14</v>
      </c>
      <c r="E5" s="11">
        <v>0.27973999999999999</v>
      </c>
      <c r="G5" s="1">
        <v>1000</v>
      </c>
      <c r="H5" s="9">
        <v>914</v>
      </c>
      <c r="I5" s="10">
        <v>936.38</v>
      </c>
      <c r="J5" s="10">
        <v>355.79</v>
      </c>
      <c r="K5" s="11">
        <v>0.28671999999999997</v>
      </c>
      <c r="M5" s="1">
        <v>1000</v>
      </c>
      <c r="N5" s="9">
        <v>914</v>
      </c>
      <c r="O5" s="10">
        <v>924.36</v>
      </c>
      <c r="P5" s="10">
        <v>352.06</v>
      </c>
      <c r="Q5" s="11">
        <v>0.28371000000000002</v>
      </c>
      <c r="T5" s="1">
        <v>914</v>
      </c>
      <c r="U5" s="9">
        <f t="shared" ref="U4:U23" si="2">AVERAGE(C5,I5,O5)</f>
        <v>923.07666666666671</v>
      </c>
      <c r="V5" s="9">
        <f t="shared" si="0"/>
        <v>351.66333333333336</v>
      </c>
      <c r="W5" s="2">
        <f t="shared" si="1"/>
        <v>0.28338999999999998</v>
      </c>
    </row>
    <row r="6" spans="1:23" x14ac:dyDescent="0.4">
      <c r="A6" s="1">
        <v>1500</v>
      </c>
      <c r="B6" s="9">
        <v>1420</v>
      </c>
      <c r="C6" s="10">
        <v>1438</v>
      </c>
      <c r="D6" s="10">
        <v>511.41</v>
      </c>
      <c r="E6" s="11">
        <v>0.41213</v>
      </c>
      <c r="G6" s="1">
        <v>1500</v>
      </c>
      <c r="H6" s="9">
        <v>1420</v>
      </c>
      <c r="I6" s="10">
        <v>1485.4</v>
      </c>
      <c r="J6" s="10">
        <v>526.12</v>
      </c>
      <c r="K6" s="11">
        <v>0.42398000000000002</v>
      </c>
      <c r="M6" s="1">
        <v>1500</v>
      </c>
      <c r="N6" s="9">
        <v>1420</v>
      </c>
      <c r="O6" s="10">
        <v>1463.2</v>
      </c>
      <c r="P6" s="10">
        <v>519.24</v>
      </c>
      <c r="Q6" s="11">
        <v>0.41843999999999998</v>
      </c>
      <c r="T6" s="1">
        <v>1420</v>
      </c>
      <c r="U6" s="9">
        <f t="shared" si="2"/>
        <v>1462.2</v>
      </c>
      <c r="V6" s="9">
        <f t="shared" si="0"/>
        <v>518.92333333333329</v>
      </c>
      <c r="W6" s="2">
        <f t="shared" si="1"/>
        <v>0.41818333333333335</v>
      </c>
    </row>
    <row r="7" spans="1:23" x14ac:dyDescent="0.4">
      <c r="A7" s="1">
        <v>2000</v>
      </c>
      <c r="B7" s="9">
        <v>1890</v>
      </c>
      <c r="C7" s="10">
        <v>1985.7</v>
      </c>
      <c r="D7" s="10">
        <v>681.33</v>
      </c>
      <c r="E7" s="11">
        <v>0.54905999999999999</v>
      </c>
      <c r="G7" s="1">
        <v>2000</v>
      </c>
      <c r="H7" s="9">
        <v>1890</v>
      </c>
      <c r="I7" s="10">
        <v>1994.9</v>
      </c>
      <c r="J7" s="10">
        <v>684.18</v>
      </c>
      <c r="K7" s="11">
        <v>0.55135000000000001</v>
      </c>
      <c r="M7" s="1">
        <v>2000</v>
      </c>
      <c r="N7" s="9">
        <v>1890</v>
      </c>
      <c r="O7" s="10">
        <v>1966.4</v>
      </c>
      <c r="P7" s="10">
        <v>675.33</v>
      </c>
      <c r="Q7" s="11">
        <v>0.54422000000000004</v>
      </c>
      <c r="T7" s="1">
        <v>1890</v>
      </c>
      <c r="U7" s="9">
        <f t="shared" si="2"/>
        <v>1982.3333333333333</v>
      </c>
      <c r="V7" s="9">
        <f t="shared" si="0"/>
        <v>680.28000000000009</v>
      </c>
      <c r="W7" s="2">
        <f t="shared" si="1"/>
        <v>0.54821000000000009</v>
      </c>
    </row>
    <row r="8" spans="1:23" x14ac:dyDescent="0.4">
      <c r="A8" s="1">
        <v>2500</v>
      </c>
      <c r="B8" s="9">
        <v>2395</v>
      </c>
      <c r="C8" s="10">
        <v>2526.3000000000002</v>
      </c>
      <c r="D8" s="10">
        <v>849.04</v>
      </c>
      <c r="E8" s="11">
        <v>0.68420000000000003</v>
      </c>
      <c r="G8" s="1">
        <v>2500</v>
      </c>
      <c r="H8" s="9">
        <v>2395</v>
      </c>
      <c r="I8" s="10">
        <v>2540.6</v>
      </c>
      <c r="J8" s="10">
        <v>853.48</v>
      </c>
      <c r="K8" s="11">
        <v>0.68777999999999995</v>
      </c>
      <c r="M8" s="1">
        <v>2500</v>
      </c>
      <c r="N8" s="9">
        <v>2395</v>
      </c>
      <c r="O8" s="10">
        <v>2506.3000000000002</v>
      </c>
      <c r="P8" s="10">
        <v>842.83</v>
      </c>
      <c r="Q8" s="11">
        <v>0.67920000000000003</v>
      </c>
      <c r="T8" s="1">
        <v>2395</v>
      </c>
      <c r="U8" s="9">
        <f t="shared" si="2"/>
        <v>2524.4</v>
      </c>
      <c r="V8" s="9">
        <f t="shared" si="0"/>
        <v>848.44999999999993</v>
      </c>
      <c r="W8" s="2">
        <f t="shared" si="1"/>
        <v>0.6837266666666667</v>
      </c>
    </row>
    <row r="9" spans="1:23" x14ac:dyDescent="0.4">
      <c r="A9" s="1">
        <v>3000</v>
      </c>
      <c r="B9" s="9">
        <v>2885</v>
      </c>
      <c r="C9" s="10">
        <v>3053.4</v>
      </c>
      <c r="D9" s="10">
        <v>1012.5</v>
      </c>
      <c r="E9" s="11">
        <v>0.81596000000000002</v>
      </c>
      <c r="G9" s="1">
        <v>3000</v>
      </c>
      <c r="H9" s="9">
        <v>2885</v>
      </c>
      <c r="I9" s="10">
        <v>3070.9</v>
      </c>
      <c r="J9" s="10">
        <v>1018</v>
      </c>
      <c r="K9" s="11">
        <v>0.82033999999999996</v>
      </c>
      <c r="M9" s="1">
        <v>3000</v>
      </c>
      <c r="N9" s="9">
        <v>2885</v>
      </c>
      <c r="O9" s="10">
        <v>3024.6</v>
      </c>
      <c r="P9" s="10">
        <v>1003.6</v>
      </c>
      <c r="Q9" s="11">
        <v>0.80876000000000003</v>
      </c>
      <c r="T9" s="1">
        <v>2885</v>
      </c>
      <c r="U9" s="9">
        <f>AVERAGE(C9,I9,O9)</f>
        <v>3049.6333333333332</v>
      </c>
      <c r="V9" s="9">
        <f t="shared" si="0"/>
        <v>1011.3666666666667</v>
      </c>
      <c r="W9" s="2">
        <f t="shared" si="1"/>
        <v>0.81501999999999997</v>
      </c>
    </row>
    <row r="10" spans="1:23" x14ac:dyDescent="0.4">
      <c r="A10" s="1">
        <v>3500</v>
      </c>
      <c r="B10" s="9">
        <v>3390</v>
      </c>
      <c r="C10" s="10">
        <v>3599.9</v>
      </c>
      <c r="D10" s="10">
        <v>1182.0999999999999</v>
      </c>
      <c r="E10" s="11">
        <v>0.95259000000000005</v>
      </c>
      <c r="G10" s="1">
        <v>3500</v>
      </c>
      <c r="H10" s="9">
        <v>3390</v>
      </c>
      <c r="I10" s="10">
        <v>3620.7</v>
      </c>
      <c r="J10" s="10">
        <v>1188.5999999999999</v>
      </c>
      <c r="K10" s="11">
        <v>0.95781000000000005</v>
      </c>
      <c r="M10" s="1">
        <v>3500</v>
      </c>
      <c r="N10" s="9">
        <v>3390</v>
      </c>
      <c r="O10" s="10">
        <v>3570.3</v>
      </c>
      <c r="P10" s="10">
        <v>1172.9000000000001</v>
      </c>
      <c r="Q10" s="11">
        <v>0.94520000000000004</v>
      </c>
      <c r="T10" s="1">
        <v>3390</v>
      </c>
      <c r="U10" s="9">
        <f t="shared" si="2"/>
        <v>3596.9666666666672</v>
      </c>
      <c r="V10" s="9">
        <f t="shared" si="0"/>
        <v>1181.2</v>
      </c>
      <c r="W10" s="2">
        <f t="shared" si="1"/>
        <v>0.95186666666666664</v>
      </c>
    </row>
    <row r="11" spans="1:23" x14ac:dyDescent="0.4">
      <c r="A11" s="1">
        <v>4000</v>
      </c>
      <c r="B11" s="9">
        <v>3883</v>
      </c>
      <c r="C11" s="10">
        <v>4130.1000000000004</v>
      </c>
      <c r="D11" s="10">
        <v>1346.6</v>
      </c>
      <c r="E11" s="11">
        <v>1.0851999999999999</v>
      </c>
      <c r="G11" s="1">
        <v>4000</v>
      </c>
      <c r="H11" s="9">
        <v>3883</v>
      </c>
      <c r="I11" s="10">
        <v>4153.7</v>
      </c>
      <c r="J11" s="10">
        <v>1353.9</v>
      </c>
      <c r="K11" s="11">
        <v>1.091</v>
      </c>
      <c r="M11" s="1">
        <v>4000</v>
      </c>
      <c r="N11" s="9">
        <v>3883</v>
      </c>
      <c r="O11" s="10">
        <v>4096</v>
      </c>
      <c r="P11" s="10">
        <v>1336</v>
      </c>
      <c r="Q11" s="11">
        <v>1.0766</v>
      </c>
      <c r="T11" s="1">
        <v>3883</v>
      </c>
      <c r="U11" s="9">
        <f t="shared" si="2"/>
        <v>4126.5999999999995</v>
      </c>
      <c r="V11" s="9">
        <f t="shared" si="0"/>
        <v>1345.5</v>
      </c>
      <c r="W11" s="2">
        <f t="shared" si="1"/>
        <v>1.0842666666666665</v>
      </c>
    </row>
    <row r="12" spans="1:23" x14ac:dyDescent="0.4">
      <c r="A12" s="1">
        <v>4500</v>
      </c>
      <c r="B12" s="9">
        <v>4388</v>
      </c>
      <c r="C12" s="10">
        <v>4683.8999999999996</v>
      </c>
      <c r="D12" s="10">
        <v>1518.4</v>
      </c>
      <c r="E12" s="11">
        <v>1.2236</v>
      </c>
      <c r="G12" s="1">
        <v>4500</v>
      </c>
      <c r="H12" s="9">
        <v>4388</v>
      </c>
      <c r="I12" s="10">
        <v>4704</v>
      </c>
      <c r="J12" s="10">
        <v>1524.6</v>
      </c>
      <c r="K12" s="11">
        <v>1.2285999999999999</v>
      </c>
      <c r="M12" s="1">
        <v>4500</v>
      </c>
      <c r="N12" s="9">
        <v>4388</v>
      </c>
      <c r="O12" s="10">
        <v>4641.8999999999996</v>
      </c>
      <c r="P12" s="10">
        <v>1505.3</v>
      </c>
      <c r="Q12" s="11">
        <v>1.2131000000000001</v>
      </c>
      <c r="T12" s="1">
        <v>4388</v>
      </c>
      <c r="U12" s="9">
        <f t="shared" si="2"/>
        <v>4676.5999999999995</v>
      </c>
      <c r="V12" s="9">
        <f t="shared" si="0"/>
        <v>1516.1000000000001</v>
      </c>
      <c r="W12" s="2">
        <f t="shared" si="1"/>
        <v>1.2217666666666667</v>
      </c>
    </row>
    <row r="13" spans="1:23" x14ac:dyDescent="0.4">
      <c r="A13" s="1">
        <v>5000</v>
      </c>
      <c r="B13" s="9">
        <v>4867</v>
      </c>
      <c r="C13" s="10">
        <v>5201.1000000000004</v>
      </c>
      <c r="D13" s="10">
        <v>1678.8</v>
      </c>
      <c r="E13" s="11">
        <v>1.3529</v>
      </c>
      <c r="G13" s="1">
        <v>5000</v>
      </c>
      <c r="H13" s="9">
        <v>4867</v>
      </c>
      <c r="I13" s="10">
        <v>5221.2</v>
      </c>
      <c r="J13" s="10">
        <v>1685</v>
      </c>
      <c r="K13" s="11">
        <v>1.3579000000000001</v>
      </c>
      <c r="M13" s="1">
        <v>5000</v>
      </c>
      <c r="N13" s="9">
        <v>4867</v>
      </c>
      <c r="O13" s="10">
        <v>5151.5</v>
      </c>
      <c r="P13" s="10">
        <v>1663.4</v>
      </c>
      <c r="Q13" s="11">
        <v>1.3405</v>
      </c>
      <c r="T13" s="1">
        <v>4867</v>
      </c>
      <c r="U13" s="9">
        <f t="shared" si="2"/>
        <v>5191.2666666666664</v>
      </c>
      <c r="V13" s="9">
        <f t="shared" si="0"/>
        <v>1675.7333333333336</v>
      </c>
      <c r="W13" s="2">
        <f t="shared" si="1"/>
        <v>1.3504333333333332</v>
      </c>
    </row>
    <row r="14" spans="1:23" x14ac:dyDescent="0.4">
      <c r="A14" s="1">
        <v>5500</v>
      </c>
      <c r="B14" s="9">
        <v>5372</v>
      </c>
      <c r="C14" s="10">
        <v>5749.2</v>
      </c>
      <c r="D14" s="10">
        <v>1848.9</v>
      </c>
      <c r="E14" s="11">
        <v>1.4899</v>
      </c>
      <c r="G14" s="1">
        <v>5500</v>
      </c>
      <c r="H14" s="9">
        <v>5372</v>
      </c>
      <c r="I14" s="10">
        <v>5770.4</v>
      </c>
      <c r="J14" s="10">
        <v>1855.4</v>
      </c>
      <c r="K14" s="11">
        <v>1.4952000000000001</v>
      </c>
      <c r="M14" s="1">
        <v>5500</v>
      </c>
      <c r="N14" s="9">
        <v>5372</v>
      </c>
      <c r="O14" s="10">
        <v>5697.5</v>
      </c>
      <c r="P14" s="10">
        <v>1832.8</v>
      </c>
      <c r="Q14" s="11">
        <v>1.4770000000000001</v>
      </c>
      <c r="T14" s="1">
        <v>5372</v>
      </c>
      <c r="U14" s="9">
        <f t="shared" si="2"/>
        <v>5739.0333333333328</v>
      </c>
      <c r="V14" s="9">
        <f t="shared" si="0"/>
        <v>1845.7</v>
      </c>
      <c r="W14" s="2">
        <f t="shared" si="1"/>
        <v>1.4873666666666667</v>
      </c>
    </row>
    <row r="15" spans="1:23" x14ac:dyDescent="0.4">
      <c r="A15" s="1">
        <v>6000</v>
      </c>
      <c r="B15" s="9">
        <v>5518</v>
      </c>
      <c r="C15" s="10">
        <v>6268</v>
      </c>
      <c r="D15" s="10">
        <v>2009.8</v>
      </c>
      <c r="E15" s="11">
        <v>1.6195999999999999</v>
      </c>
      <c r="G15" s="1">
        <v>6000</v>
      </c>
      <c r="H15" s="9">
        <v>5518</v>
      </c>
      <c r="I15" s="10">
        <v>6293.4</v>
      </c>
      <c r="J15" s="10">
        <v>2017.7</v>
      </c>
      <c r="K15" s="11">
        <v>1.6259999999999999</v>
      </c>
      <c r="M15" s="1">
        <v>6000</v>
      </c>
      <c r="N15" s="9">
        <v>5518</v>
      </c>
      <c r="O15" s="10">
        <v>6216.6</v>
      </c>
      <c r="P15" s="10">
        <v>1993.9</v>
      </c>
      <c r="Q15" s="11">
        <v>1.6068</v>
      </c>
      <c r="T15" s="1">
        <v>5518</v>
      </c>
      <c r="U15" s="9">
        <f t="shared" si="2"/>
        <v>6259.333333333333</v>
      </c>
      <c r="V15" s="9">
        <f t="shared" si="0"/>
        <v>2007.1333333333332</v>
      </c>
      <c r="W15" s="2">
        <f t="shared" si="1"/>
        <v>1.6174666666666664</v>
      </c>
    </row>
    <row r="16" spans="1:23" x14ac:dyDescent="0.4">
      <c r="A16" s="1">
        <v>6500</v>
      </c>
      <c r="B16" s="9">
        <v>6400</v>
      </c>
      <c r="C16" s="10">
        <v>6816.3</v>
      </c>
      <c r="D16" s="10">
        <v>2179.9</v>
      </c>
      <c r="E16" s="11">
        <v>1.7566999999999999</v>
      </c>
      <c r="G16" s="1">
        <v>6500</v>
      </c>
      <c r="H16" s="9">
        <v>6400</v>
      </c>
      <c r="I16" s="10">
        <v>6844.4</v>
      </c>
      <c r="J16" s="10">
        <v>2188.6</v>
      </c>
      <c r="K16" s="11">
        <v>1.7637</v>
      </c>
      <c r="M16" s="1">
        <v>6500</v>
      </c>
      <c r="N16" s="9">
        <v>6400</v>
      </c>
      <c r="O16" s="10">
        <v>6759.9</v>
      </c>
      <c r="P16" s="10">
        <v>2162.4</v>
      </c>
      <c r="Q16" s="11">
        <v>1.7425999999999999</v>
      </c>
      <c r="T16" s="1">
        <v>6400</v>
      </c>
      <c r="U16" s="9">
        <f t="shared" si="2"/>
        <v>6806.8666666666659</v>
      </c>
      <c r="V16" s="9">
        <f t="shared" si="0"/>
        <v>2176.9666666666667</v>
      </c>
      <c r="W16" s="2">
        <f t="shared" si="1"/>
        <v>1.7543333333333333</v>
      </c>
    </row>
    <row r="17" spans="1:23" x14ac:dyDescent="0.4">
      <c r="A17" s="1">
        <v>7000</v>
      </c>
      <c r="B17" s="9">
        <v>6790</v>
      </c>
      <c r="C17" s="10">
        <v>7277.7</v>
      </c>
      <c r="D17" s="10">
        <v>2323</v>
      </c>
      <c r="E17" s="11">
        <v>1.8720000000000001</v>
      </c>
      <c r="G17" s="1">
        <v>7000</v>
      </c>
      <c r="H17" s="9">
        <v>6790</v>
      </c>
      <c r="I17" s="10">
        <v>7303.6</v>
      </c>
      <c r="J17" s="10">
        <v>2331.1</v>
      </c>
      <c r="K17" s="11">
        <v>1.8785000000000001</v>
      </c>
      <c r="M17" s="1">
        <v>7000</v>
      </c>
      <c r="N17" s="9">
        <v>6790</v>
      </c>
      <c r="O17" s="10">
        <v>7217.7</v>
      </c>
      <c r="P17" s="10">
        <v>2304.4</v>
      </c>
      <c r="Q17" s="11">
        <v>1.857</v>
      </c>
      <c r="T17" s="1">
        <v>6790</v>
      </c>
      <c r="U17" s="9">
        <f t="shared" si="2"/>
        <v>7266.333333333333</v>
      </c>
      <c r="V17" s="9">
        <f t="shared" si="0"/>
        <v>2319.5</v>
      </c>
      <c r="W17" s="2">
        <f t="shared" si="1"/>
        <v>1.8691666666666666</v>
      </c>
    </row>
    <row r="18" spans="1:23" x14ac:dyDescent="0.4">
      <c r="A18" s="1">
        <v>7500</v>
      </c>
      <c r="B18" s="9">
        <v>7297</v>
      </c>
      <c r="C18" s="10">
        <v>7813.8</v>
      </c>
      <c r="D18" s="10">
        <v>2489.4</v>
      </c>
      <c r="E18" s="11">
        <v>2.0061</v>
      </c>
      <c r="G18" s="1">
        <v>7500</v>
      </c>
      <c r="H18" s="9">
        <v>7297</v>
      </c>
      <c r="I18" s="10">
        <v>7849.7</v>
      </c>
      <c r="J18" s="10">
        <v>2500.5</v>
      </c>
      <c r="K18" s="11">
        <v>2.0150000000000001</v>
      </c>
      <c r="M18" s="1">
        <v>7500</v>
      </c>
      <c r="N18" s="9">
        <v>7297</v>
      </c>
      <c r="O18" s="10">
        <v>7761.3</v>
      </c>
      <c r="P18" s="10">
        <v>2473.1</v>
      </c>
      <c r="Q18" s="11">
        <v>1.9928999999999999</v>
      </c>
      <c r="T18" s="1">
        <v>7297</v>
      </c>
      <c r="U18" s="9">
        <f t="shared" si="2"/>
        <v>7808.2666666666664</v>
      </c>
      <c r="V18" s="9">
        <f t="shared" si="0"/>
        <v>2487.6666666666665</v>
      </c>
      <c r="W18" s="2">
        <f t="shared" si="1"/>
        <v>2.0046666666666666</v>
      </c>
    </row>
    <row r="19" spans="1:23" x14ac:dyDescent="0.4">
      <c r="A19" s="1">
        <v>8000</v>
      </c>
      <c r="B19" s="9">
        <v>7771</v>
      </c>
      <c r="C19" s="10">
        <v>8359.6</v>
      </c>
      <c r="D19" s="10">
        <v>2658.7</v>
      </c>
      <c r="E19" s="11">
        <v>2.1425000000000001</v>
      </c>
      <c r="G19" s="1">
        <v>8000</v>
      </c>
      <c r="H19" s="9">
        <v>7771</v>
      </c>
      <c r="I19" s="10">
        <v>8389.2999999999993</v>
      </c>
      <c r="J19" s="10">
        <v>2667.9</v>
      </c>
      <c r="K19" s="11">
        <v>2.15</v>
      </c>
      <c r="M19" s="1">
        <v>8000</v>
      </c>
      <c r="N19" s="9">
        <v>7771</v>
      </c>
      <c r="O19" s="10">
        <v>8299.7000000000007</v>
      </c>
      <c r="P19" s="10">
        <v>2640.1</v>
      </c>
      <c r="Q19" s="2">
        <v>2.1276000000000002</v>
      </c>
      <c r="T19" s="1">
        <v>7771</v>
      </c>
      <c r="U19" s="9">
        <f t="shared" si="2"/>
        <v>8349.5333333333347</v>
      </c>
      <c r="V19" s="9">
        <f t="shared" si="0"/>
        <v>2655.5666666666671</v>
      </c>
      <c r="W19" s="2">
        <f t="shared" si="1"/>
        <v>2.1400333333333337</v>
      </c>
    </row>
    <row r="20" spans="1:23" x14ac:dyDescent="0.4">
      <c r="A20" s="1">
        <v>8500</v>
      </c>
      <c r="B20" s="9">
        <v>8271</v>
      </c>
      <c r="C20" s="10">
        <v>8881.1</v>
      </c>
      <c r="D20" s="10">
        <v>2820.5</v>
      </c>
      <c r="E20" s="11">
        <v>2.2728999999999999</v>
      </c>
      <c r="G20" s="1">
        <v>8500</v>
      </c>
      <c r="H20" s="9">
        <v>8271</v>
      </c>
      <c r="I20" s="10">
        <v>8921.9</v>
      </c>
      <c r="J20" s="10">
        <v>2833.1</v>
      </c>
      <c r="K20" s="11">
        <v>2.2831000000000001</v>
      </c>
      <c r="M20" s="1">
        <v>8500</v>
      </c>
      <c r="N20" s="9">
        <v>8271</v>
      </c>
      <c r="O20" s="10">
        <v>8827.2999999999993</v>
      </c>
      <c r="P20" s="10">
        <v>2803.8</v>
      </c>
      <c r="Q20" s="11">
        <v>2.2593999999999999</v>
      </c>
      <c r="T20" s="1">
        <v>8271</v>
      </c>
      <c r="U20" s="9">
        <f t="shared" si="2"/>
        <v>8876.7666666666664</v>
      </c>
      <c r="V20" s="9">
        <f t="shared" si="0"/>
        <v>2819.1333333333337</v>
      </c>
      <c r="W20" s="2">
        <f t="shared" si="1"/>
        <v>2.2718000000000003</v>
      </c>
    </row>
    <row r="21" spans="1:23" x14ac:dyDescent="0.4">
      <c r="A21" s="1">
        <v>9000</v>
      </c>
      <c r="B21" s="9">
        <v>8761</v>
      </c>
      <c r="C21" s="10">
        <v>9419.7999999999993</v>
      </c>
      <c r="D21" s="10">
        <v>2987.6</v>
      </c>
      <c r="E21" s="11">
        <v>2.4076</v>
      </c>
      <c r="G21" s="1">
        <v>9000</v>
      </c>
      <c r="H21" s="9">
        <v>8761</v>
      </c>
      <c r="I21" s="10">
        <v>9456.4</v>
      </c>
      <c r="J21" s="10">
        <v>2998.9</v>
      </c>
      <c r="K21" s="11">
        <v>2.4167000000000001</v>
      </c>
      <c r="M21" s="1">
        <v>9000</v>
      </c>
      <c r="N21" s="9">
        <v>8761</v>
      </c>
      <c r="O21" s="10">
        <v>9362.1</v>
      </c>
      <c r="P21" s="10">
        <v>2969.7</v>
      </c>
      <c r="Q21" s="11">
        <v>2.3932000000000002</v>
      </c>
      <c r="T21" s="1">
        <v>8761</v>
      </c>
      <c r="U21" s="9">
        <f t="shared" si="2"/>
        <v>9412.7666666666646</v>
      </c>
      <c r="V21" s="9">
        <f t="shared" si="0"/>
        <v>2985.4</v>
      </c>
      <c r="W21" s="2">
        <f t="shared" si="1"/>
        <v>2.4058333333333333</v>
      </c>
    </row>
    <row r="22" spans="1:23" x14ac:dyDescent="0.4">
      <c r="A22" s="1">
        <v>9500</v>
      </c>
      <c r="B22" s="9">
        <v>9235</v>
      </c>
      <c r="C22" s="10">
        <v>9773.4</v>
      </c>
      <c r="D22" s="10">
        <v>3097.3</v>
      </c>
      <c r="E22" s="11">
        <v>2.496</v>
      </c>
      <c r="G22" s="1">
        <v>9500</v>
      </c>
      <c r="H22" s="9">
        <v>9235</v>
      </c>
      <c r="I22" s="10">
        <v>9794.1</v>
      </c>
      <c r="J22" s="10">
        <v>3103.7</v>
      </c>
      <c r="K22" s="11">
        <v>2.5011999999999999</v>
      </c>
      <c r="M22" s="1">
        <v>9500</v>
      </c>
      <c r="N22" s="9">
        <v>9235</v>
      </c>
      <c r="O22" s="10">
        <v>9718.2000000000007</v>
      </c>
      <c r="P22" s="10">
        <v>3080.1</v>
      </c>
      <c r="Q22" s="11">
        <v>2.4822000000000002</v>
      </c>
      <c r="T22" s="1">
        <v>9235</v>
      </c>
      <c r="U22" s="9">
        <f t="shared" si="2"/>
        <v>9761.9</v>
      </c>
      <c r="V22" s="9">
        <f t="shared" si="0"/>
        <v>3093.7000000000003</v>
      </c>
      <c r="W22" s="2">
        <f t="shared" si="1"/>
        <v>2.4931333333333332</v>
      </c>
    </row>
    <row r="23" spans="1:23" ht="17.399999999999999" thickBot="1" x14ac:dyDescent="0.45">
      <c r="A23" s="3">
        <v>10000</v>
      </c>
      <c r="B23" s="4">
        <v>9645</v>
      </c>
      <c r="C23" s="12">
        <v>9781.2000000000007</v>
      </c>
      <c r="D23" s="12">
        <v>3099.7</v>
      </c>
      <c r="E23" s="13">
        <v>2.4979</v>
      </c>
      <c r="G23" s="3">
        <v>10000</v>
      </c>
      <c r="H23" s="4">
        <v>9645</v>
      </c>
      <c r="I23" s="12">
        <v>9795.2999999999993</v>
      </c>
      <c r="J23" s="12">
        <v>3104.1</v>
      </c>
      <c r="K23" s="13">
        <v>2.5015000000000001</v>
      </c>
      <c r="M23" s="3">
        <v>10000</v>
      </c>
      <c r="N23" s="4">
        <v>9645</v>
      </c>
      <c r="O23" s="12">
        <v>9720</v>
      </c>
      <c r="P23" s="12">
        <v>3080.7</v>
      </c>
      <c r="Q23" s="13">
        <v>2.4826000000000001</v>
      </c>
      <c r="T23" s="3">
        <v>9645</v>
      </c>
      <c r="U23" s="4">
        <f>AVERAGE(C23,I23,O23)</f>
        <v>9765.5</v>
      </c>
      <c r="V23" s="4">
        <f t="shared" si="0"/>
        <v>3094.8333333333335</v>
      </c>
      <c r="W23" s="5">
        <f t="shared" si="1"/>
        <v>2.4939999999999998</v>
      </c>
    </row>
    <row r="27" spans="1:23" x14ac:dyDescent="0.4">
      <c r="H27" t="s">
        <v>9</v>
      </c>
    </row>
    <row r="28" spans="1:23" x14ac:dyDescent="0.4">
      <c r="H28" t="s">
        <v>11</v>
      </c>
      <c r="I28" t="s">
        <v>15</v>
      </c>
    </row>
    <row r="29" spans="1:23" x14ac:dyDescent="0.4">
      <c r="H29" t="s">
        <v>12</v>
      </c>
      <c r="I29" t="s">
        <v>14</v>
      </c>
    </row>
    <row r="30" spans="1:23" x14ac:dyDescent="0.4">
      <c r="H30" t="s">
        <v>13</v>
      </c>
      <c r="I30" t="s">
        <v>14</v>
      </c>
    </row>
    <row r="31" spans="1:23" x14ac:dyDescent="0.4">
      <c r="H31" t="s">
        <v>10</v>
      </c>
      <c r="I31">
        <v>625</v>
      </c>
    </row>
    <row r="32" spans="1:23" x14ac:dyDescent="0.4">
      <c r="H32" t="s">
        <v>8</v>
      </c>
      <c r="I3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32671AEFAF42443BA5AFA7C373D96AF" ma:contentTypeVersion="5" ma:contentTypeDescription="สร้างเอกสารใหม่" ma:contentTypeScope="" ma:versionID="1a58fdde93992c9dde1b63b49216b99a">
  <xsd:schema xmlns:xsd="http://www.w3.org/2001/XMLSchema" xmlns:xs="http://www.w3.org/2001/XMLSchema" xmlns:p="http://schemas.microsoft.com/office/2006/metadata/properties" xmlns:ns3="c68716bf-dfc4-44a3-8acf-254108405b67" targetNamespace="http://schemas.microsoft.com/office/2006/metadata/properties" ma:root="true" ma:fieldsID="f84b436af8ef22751a9e20fd6b4c9b19" ns3:_="">
    <xsd:import namespace="c68716bf-dfc4-44a3-8acf-254108405b6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716bf-dfc4-44a3-8acf-254108405b6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8716bf-dfc4-44a3-8acf-254108405b67" xsi:nil="true"/>
  </documentManagement>
</p:properties>
</file>

<file path=customXml/itemProps1.xml><?xml version="1.0" encoding="utf-8"?>
<ds:datastoreItem xmlns:ds="http://schemas.openxmlformats.org/officeDocument/2006/customXml" ds:itemID="{803DAA27-5C4F-42C7-90A6-BD59DAFD7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716bf-dfc4-44a3-8acf-254108405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06E476-CC47-4493-8162-E880F5BA8D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DC3C62-0388-4CC4-A910-E35827FB89AD}">
  <ds:schemaRefs>
    <ds:schemaRef ds:uri="http://www.w3.org/XML/1998/namespace"/>
    <ds:schemaRef ds:uri="http://purl.org/dc/elements/1.1/"/>
    <ds:schemaRef ds:uri="http://purl.org/dc/terms/"/>
    <ds:schemaRef ds:uri="c68716bf-dfc4-44a3-8acf-254108405b67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AOMSIN</dc:creator>
  <cp:lastModifiedBy>P. AOMSIN</cp:lastModifiedBy>
  <dcterms:created xsi:type="dcterms:W3CDTF">2026-09-26T13:58:11Z</dcterms:created>
  <dcterms:modified xsi:type="dcterms:W3CDTF">2026-10-01T20:52:19Z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0x010100532671AEFAF42443BA5AFA7C373D96AF</vt:lpwstr>
  </property>
</Properties>
</file>